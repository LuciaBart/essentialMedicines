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Estefi\Documents\ESTUDIO REMEDIAR\PLAZOS\"/>
    </mc:Choice>
  </mc:AlternateContent>
  <xr:revisionPtr revIDLastSave="0" documentId="13_ncr:1_{3FA9C7AC-4F96-447F-814E-879BA383E68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ja3" sheetId="3" r:id="rId1"/>
    <sheet name="Hoja3 (2)" sheetId="5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4" i="5" l="1"/>
  <c r="H14" i="5"/>
  <c r="H15" i="5" s="1"/>
  <c r="G14" i="5"/>
  <c r="I13" i="5"/>
  <c r="H13" i="5"/>
  <c r="G13" i="5"/>
  <c r="I12" i="5"/>
  <c r="H12" i="5"/>
  <c r="G12" i="5"/>
  <c r="I11" i="5"/>
  <c r="H11" i="5"/>
  <c r="G11" i="5"/>
  <c r="I6" i="5"/>
  <c r="H6" i="5"/>
  <c r="F6" i="5"/>
  <c r="D6" i="5"/>
  <c r="I5" i="5"/>
  <c r="J14" i="5" s="1"/>
  <c r="J15" i="5" s="1"/>
  <c r="H5" i="5"/>
  <c r="F5" i="5"/>
  <c r="F14" i="5" s="1"/>
  <c r="D5" i="5"/>
  <c r="I4" i="5"/>
  <c r="H4" i="5"/>
  <c r="F4" i="5"/>
  <c r="D4" i="5"/>
  <c r="D14" i="5" s="1"/>
  <c r="D15" i="5" s="1"/>
  <c r="I3" i="5"/>
  <c r="H3" i="5"/>
  <c r="F3" i="5"/>
  <c r="D3" i="5"/>
  <c r="I2" i="5"/>
  <c r="P14" i="5" s="1"/>
  <c r="H2" i="5"/>
  <c r="O14" i="5" s="1"/>
  <c r="F2" i="5"/>
  <c r="E14" i="5" s="1"/>
  <c r="D2" i="5"/>
  <c r="C14" i="5" s="1"/>
  <c r="I6" i="3"/>
  <c r="I5" i="3"/>
  <c r="I4" i="3"/>
  <c r="I3" i="3"/>
  <c r="I2" i="3"/>
  <c r="H3" i="3"/>
  <c r="H4" i="3"/>
  <c r="H5" i="3"/>
  <c r="H6" i="3"/>
  <c r="H2" i="3"/>
  <c r="F3" i="3"/>
  <c r="F4" i="3"/>
  <c r="F5" i="3"/>
  <c r="F6" i="3"/>
  <c r="F2" i="3"/>
  <c r="D3" i="3"/>
  <c r="D4" i="3"/>
  <c r="D5" i="3"/>
  <c r="D6" i="3"/>
  <c r="D2" i="3"/>
  <c r="F15" i="5" l="1"/>
  <c r="J11" i="5"/>
  <c r="J12" i="5"/>
  <c r="J13" i="5"/>
  <c r="M11" i="5"/>
  <c r="M12" i="5"/>
  <c r="M13" i="5"/>
  <c r="M14" i="5"/>
  <c r="N11" i="5"/>
  <c r="N12" i="5"/>
  <c r="N13" i="5"/>
  <c r="N14" i="5"/>
  <c r="O11" i="5"/>
  <c r="O12" i="5"/>
  <c r="O13" i="5"/>
  <c r="P11" i="5"/>
  <c r="P12" i="5"/>
  <c r="P13" i="5"/>
  <c r="C11" i="5"/>
  <c r="C12" i="5"/>
  <c r="C13" i="5"/>
  <c r="D11" i="5"/>
  <c r="D12" i="5"/>
  <c r="D13" i="5"/>
  <c r="E11" i="5"/>
  <c r="E12" i="5"/>
  <c r="E13" i="5"/>
  <c r="F11" i="5"/>
  <c r="F12" i="5"/>
  <c r="F13" i="5"/>
</calcChain>
</file>

<file path=xl/sharedStrings.xml><?xml version="1.0" encoding="utf-8"?>
<sst xmlns="http://schemas.openxmlformats.org/spreadsheetml/2006/main" count="106" uniqueCount="33">
  <si>
    <t>PUBLICACIÓN</t>
  </si>
  <si>
    <t>APERTURA</t>
  </si>
  <si>
    <t>OC</t>
  </si>
  <si>
    <t>COMPRAR</t>
  </si>
  <si>
    <t>$</t>
  </si>
  <si>
    <t>1023 - 1030</t>
  </si>
  <si>
    <t>Tipo de compra</t>
  </si>
  <si>
    <t>Marco Normativo</t>
  </si>
  <si>
    <t>Moneda</t>
  </si>
  <si>
    <t>BID 5032/OC-AR</t>
  </si>
  <si>
    <t xml:space="preserve">Mecanismo </t>
  </si>
  <si>
    <t>Licitación Pública Nacional</t>
  </si>
  <si>
    <t>PNUD ARG/19/010</t>
  </si>
  <si>
    <t>Licitación Pública Internacional</t>
  </si>
  <si>
    <t>$ o USD</t>
  </si>
  <si>
    <t>Inicio Compras (cuando no es comprar se toma fecha de pliego)</t>
  </si>
  <si>
    <t>Financiamiento</t>
  </si>
  <si>
    <t>NACIONAL</t>
  </si>
  <si>
    <t>INTERNACIONAL</t>
  </si>
  <si>
    <t>DIAS_APERTURA</t>
  </si>
  <si>
    <t>DIAS_PUBLICACIÓN</t>
  </si>
  <si>
    <t>DIAS_OC</t>
  </si>
  <si>
    <t>DIAS_TOTAL</t>
  </si>
  <si>
    <t>PROMEDIO</t>
  </si>
  <si>
    <t>PUBLIC</t>
  </si>
  <si>
    <t>TOTAL</t>
  </si>
  <si>
    <t>MEDIDAS</t>
  </si>
  <si>
    <t>MÁXIMO (ALTO)</t>
  </si>
  <si>
    <t>MÍNIMO (BAJO)</t>
  </si>
  <si>
    <t>MEDIANA (LÍNEA MEDIA)</t>
  </si>
  <si>
    <t>DIF. PORCENTUAL ENTRE PROMEDIOS</t>
  </si>
  <si>
    <t>TODOS LOS PROCESOS</t>
  </si>
  <si>
    <t>OUTLIERS o valores extremos (PUNTOS)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</si>
</sst>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6">
    <xf numFmtId="0" fontId="0" fillId="0" borderId="0" xfId="0"/>
    <xf numFmtId="14" fontId="0" fillId="0" borderId="0" xfId="0" applyNumberForma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1" xfId="0" applyNumberFormat="1" applyFont="1" applyBorder="1" applyAlignment="1">
      <alignment horizontal="left" vertical="center"/>
    </xf>
    <xf numFmtId="1" fontId="2" fillId="2" borderId="1" xfId="0" applyNumberFormat="1" applyFont="1" applyFill="1" applyBorder="1" applyAlignment="1">
      <alignment horizontal="left" vertical="center"/>
    </xf>
    <xf numFmtId="1" fontId="0" fillId="0" borderId="1" xfId="1" applyNumberFormat="1" applyFont="1" applyBorder="1" applyAlignment="1">
      <alignment horizontal="left" vertical="center"/>
    </xf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0" fillId="0" borderId="2" xfId="0" applyFill="1" applyBorder="1"/>
    <xf numFmtId="0" fontId="0" fillId="0" borderId="0" xfId="0" applyFill="1" applyBorder="1" applyAlignment="1">
      <alignment horizontal="left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0" borderId="1" xfId="0" applyNumberFormat="1" applyFont="1" applyBorder="1"/>
    <xf numFmtId="0" fontId="4" fillId="0" borderId="1" xfId="0" applyFont="1" applyFill="1" applyBorder="1"/>
    <xf numFmtId="9" fontId="4" fillId="0" borderId="1" xfId="2" applyFont="1" applyBorder="1"/>
    <xf numFmtId="0" fontId="4" fillId="0" borderId="0" xfId="0" applyFont="1"/>
    <xf numFmtId="1" fontId="4" fillId="0" borderId="3" xfId="0" applyNumberFormat="1" applyFont="1" applyFill="1" applyBorder="1"/>
    <xf numFmtId="1" fontId="4" fillId="0" borderId="0" xfId="0" applyNumberFormat="1" applyFont="1" applyFill="1" applyBorder="1"/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69F40-7F6D-4A8A-9BF4-59A0A3C1C456}">
  <dimension ref="A1:M6"/>
  <sheetViews>
    <sheetView tabSelected="1" zoomScale="108" zoomScaleNormal="108" workbookViewId="0">
      <selection activeCell="D13" sqref="D13"/>
    </sheetView>
  </sheetViews>
  <sheetFormatPr baseColWidth="10" defaultRowHeight="14.5" x14ac:dyDescent="0.35"/>
  <cols>
    <col min="2" max="2" width="25.6328125" customWidth="1"/>
    <col min="3" max="3" width="11.81640625" customWidth="1"/>
    <col min="4" max="4" width="11.81640625" style="10" customWidth="1"/>
    <col min="5" max="10" width="11.81640625" customWidth="1"/>
    <col min="11" max="11" width="8.81640625" customWidth="1"/>
    <col min="12" max="12" width="19.1796875" customWidth="1"/>
  </cols>
  <sheetData>
    <row r="1" spans="1:13" x14ac:dyDescent="0.35">
      <c r="A1" s="2" t="s">
        <v>16</v>
      </c>
      <c r="B1" s="2" t="s">
        <v>15</v>
      </c>
      <c r="C1" s="2" t="s">
        <v>0</v>
      </c>
      <c r="D1" s="8" t="s">
        <v>20</v>
      </c>
      <c r="E1" s="2" t="s">
        <v>1</v>
      </c>
      <c r="F1" s="2" t="s">
        <v>19</v>
      </c>
      <c r="G1" s="2" t="s">
        <v>2</v>
      </c>
      <c r="H1" s="2" t="s">
        <v>21</v>
      </c>
      <c r="I1" s="2" t="s">
        <v>22</v>
      </c>
      <c r="J1" s="2" t="s">
        <v>6</v>
      </c>
      <c r="K1" s="2" t="s">
        <v>10</v>
      </c>
      <c r="L1" s="2" t="s">
        <v>7</v>
      </c>
      <c r="M1" s="5" t="s">
        <v>8</v>
      </c>
    </row>
    <row r="2" spans="1:13" x14ac:dyDescent="0.35">
      <c r="A2" s="4" t="s">
        <v>17</v>
      </c>
      <c r="B2" s="7">
        <v>42920</v>
      </c>
      <c r="C2" s="4">
        <v>43055</v>
      </c>
      <c r="D2" s="9">
        <f>C2-B2</f>
        <v>135</v>
      </c>
      <c r="E2" s="4">
        <v>43070</v>
      </c>
      <c r="F2" s="9">
        <f>E2-C2</f>
        <v>15</v>
      </c>
      <c r="G2" s="4">
        <v>43349</v>
      </c>
      <c r="H2" s="9">
        <f>G2-E2</f>
        <v>279</v>
      </c>
      <c r="I2" s="9">
        <f>G2-B2</f>
        <v>429</v>
      </c>
      <c r="J2" s="3" t="s">
        <v>11</v>
      </c>
      <c r="K2" s="3" t="s">
        <v>3</v>
      </c>
      <c r="L2" s="3" t="s">
        <v>5</v>
      </c>
      <c r="M2" s="6" t="s">
        <v>4</v>
      </c>
    </row>
    <row r="3" spans="1:13" x14ac:dyDescent="0.35">
      <c r="A3" s="4" t="s">
        <v>17</v>
      </c>
      <c r="B3" s="4">
        <v>43235</v>
      </c>
      <c r="C3" s="4">
        <v>43474</v>
      </c>
      <c r="D3" s="9">
        <f t="shared" ref="D3:D6" si="0">C3-B3</f>
        <v>239</v>
      </c>
      <c r="E3" s="4">
        <v>43502</v>
      </c>
      <c r="F3" s="9">
        <f t="shared" ref="F3:F6" si="1">E3-C3</f>
        <v>28</v>
      </c>
      <c r="G3" s="4">
        <v>43721</v>
      </c>
      <c r="H3" s="9">
        <f t="shared" ref="H3:H6" si="2">G3-E3</f>
        <v>219</v>
      </c>
      <c r="I3" s="9">
        <f>G3-B3</f>
        <v>486</v>
      </c>
      <c r="J3" s="3" t="s">
        <v>11</v>
      </c>
      <c r="K3" s="3" t="s">
        <v>3</v>
      </c>
      <c r="L3" s="3" t="s">
        <v>5</v>
      </c>
      <c r="M3" s="6" t="s">
        <v>4</v>
      </c>
    </row>
    <row r="4" spans="1:13" x14ac:dyDescent="0.35">
      <c r="A4" s="4" t="s">
        <v>18</v>
      </c>
      <c r="B4" s="1">
        <v>44449</v>
      </c>
      <c r="C4" s="4">
        <v>44452</v>
      </c>
      <c r="D4" s="9">
        <f t="shared" si="0"/>
        <v>3</v>
      </c>
      <c r="E4" s="4">
        <v>44516</v>
      </c>
      <c r="F4" s="9">
        <f t="shared" si="1"/>
        <v>64</v>
      </c>
      <c r="G4" s="4">
        <v>44740</v>
      </c>
      <c r="H4" s="9">
        <f t="shared" si="2"/>
        <v>224</v>
      </c>
      <c r="I4" s="9">
        <f>G4-B4</f>
        <v>291</v>
      </c>
      <c r="J4" s="3" t="s">
        <v>13</v>
      </c>
      <c r="K4" s="3" t="s">
        <v>12</v>
      </c>
      <c r="L4" s="3" t="s">
        <v>9</v>
      </c>
      <c r="M4" s="6" t="s">
        <v>14</v>
      </c>
    </row>
    <row r="5" spans="1:13" x14ac:dyDescent="0.35">
      <c r="A5" s="4" t="s">
        <v>18</v>
      </c>
      <c r="B5" s="4">
        <v>45163</v>
      </c>
      <c r="C5" s="4">
        <v>45163</v>
      </c>
      <c r="D5" s="9">
        <f t="shared" si="0"/>
        <v>0</v>
      </c>
      <c r="E5" s="4">
        <v>45196</v>
      </c>
      <c r="F5" s="9">
        <f t="shared" si="1"/>
        <v>33</v>
      </c>
      <c r="G5" s="4">
        <v>45338</v>
      </c>
      <c r="H5" s="9">
        <f t="shared" si="2"/>
        <v>142</v>
      </c>
      <c r="I5" s="9">
        <f>G5-B5</f>
        <v>175</v>
      </c>
      <c r="J5" s="3" t="s">
        <v>13</v>
      </c>
      <c r="K5" s="3" t="s">
        <v>12</v>
      </c>
      <c r="L5" s="3" t="s">
        <v>9</v>
      </c>
      <c r="M5" s="6" t="s">
        <v>14</v>
      </c>
    </row>
    <row r="6" spans="1:13" x14ac:dyDescent="0.35">
      <c r="A6" s="4" t="s">
        <v>18</v>
      </c>
      <c r="B6" s="4">
        <v>45163</v>
      </c>
      <c r="C6" s="4">
        <v>45163</v>
      </c>
      <c r="D6" s="9">
        <f t="shared" si="0"/>
        <v>0</v>
      </c>
      <c r="E6" s="4">
        <v>45195</v>
      </c>
      <c r="F6" s="9">
        <f t="shared" si="1"/>
        <v>32</v>
      </c>
      <c r="G6" s="4">
        <v>45398</v>
      </c>
      <c r="H6" s="9">
        <f t="shared" si="2"/>
        <v>203</v>
      </c>
      <c r="I6" s="9">
        <f>G6-B6</f>
        <v>235</v>
      </c>
      <c r="J6" s="3" t="s">
        <v>13</v>
      </c>
      <c r="K6" s="3" t="s">
        <v>12</v>
      </c>
      <c r="L6" s="3" t="s">
        <v>9</v>
      </c>
      <c r="M6" s="6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450EC-BDC2-4725-9DFE-A8EB04EBAFC6}">
  <dimension ref="A1:P19"/>
  <sheetViews>
    <sheetView topLeftCell="E1" zoomScale="108" zoomScaleNormal="108" workbookViewId="0">
      <selection activeCell="E9" sqref="E9:F9"/>
    </sheetView>
  </sheetViews>
  <sheetFormatPr baseColWidth="10" defaultRowHeight="14.5" x14ac:dyDescent="0.35"/>
  <cols>
    <col min="2" max="2" width="25.6328125" customWidth="1"/>
    <col min="3" max="3" width="11.81640625" customWidth="1"/>
    <col min="4" max="4" width="11.81640625" style="10" customWidth="1"/>
    <col min="5" max="10" width="11.81640625" customWidth="1"/>
    <col min="11" max="11" width="8.81640625" customWidth="1"/>
    <col min="12" max="12" width="19.1796875" customWidth="1"/>
  </cols>
  <sheetData>
    <row r="1" spans="1:16" x14ac:dyDescent="0.35">
      <c r="A1" s="2" t="s">
        <v>16</v>
      </c>
      <c r="B1" s="2" t="s">
        <v>15</v>
      </c>
      <c r="C1" s="2" t="s">
        <v>0</v>
      </c>
      <c r="D1" s="8" t="s">
        <v>20</v>
      </c>
      <c r="E1" s="2" t="s">
        <v>1</v>
      </c>
      <c r="F1" s="2" t="s">
        <v>19</v>
      </c>
      <c r="G1" s="2" t="s">
        <v>2</v>
      </c>
      <c r="H1" s="2" t="s">
        <v>21</v>
      </c>
      <c r="I1" s="2" t="s">
        <v>22</v>
      </c>
      <c r="J1" s="2" t="s">
        <v>6</v>
      </c>
      <c r="K1" s="2" t="s">
        <v>10</v>
      </c>
      <c r="L1" s="2" t="s">
        <v>7</v>
      </c>
      <c r="M1" s="5" t="s">
        <v>8</v>
      </c>
    </row>
    <row r="2" spans="1:16" x14ac:dyDescent="0.35">
      <c r="A2" s="4" t="s">
        <v>17</v>
      </c>
      <c r="B2" s="7">
        <v>42920</v>
      </c>
      <c r="C2" s="4">
        <v>43055</v>
      </c>
      <c r="D2" s="9">
        <f>C2-B2</f>
        <v>135</v>
      </c>
      <c r="E2" s="4">
        <v>43070</v>
      </c>
      <c r="F2" s="9">
        <f>E2-C2</f>
        <v>15</v>
      </c>
      <c r="G2" s="4">
        <v>43349</v>
      </c>
      <c r="H2" s="9">
        <f>G2-E2</f>
        <v>279</v>
      </c>
      <c r="I2" s="9">
        <f>G2-B2</f>
        <v>429</v>
      </c>
      <c r="J2" s="3" t="s">
        <v>11</v>
      </c>
      <c r="K2" s="3" t="s">
        <v>3</v>
      </c>
      <c r="L2" s="3" t="s">
        <v>5</v>
      </c>
      <c r="M2" s="6" t="s">
        <v>4</v>
      </c>
    </row>
    <row r="3" spans="1:16" x14ac:dyDescent="0.35">
      <c r="A3" s="4" t="s">
        <v>17</v>
      </c>
      <c r="B3" s="4">
        <v>43235</v>
      </c>
      <c r="C3" s="4">
        <v>43474</v>
      </c>
      <c r="D3" s="9">
        <f t="shared" ref="D3:D6" si="0">C3-B3</f>
        <v>239</v>
      </c>
      <c r="E3" s="4">
        <v>43502</v>
      </c>
      <c r="F3" s="9">
        <f t="shared" ref="F3:F6" si="1">E3-C3</f>
        <v>28</v>
      </c>
      <c r="G3" s="4">
        <v>43721</v>
      </c>
      <c r="H3" s="9">
        <f t="shared" ref="H3:H6" si="2">G3-E3</f>
        <v>219</v>
      </c>
      <c r="I3" s="9">
        <f>G3-B3</f>
        <v>486</v>
      </c>
      <c r="J3" s="3" t="s">
        <v>11</v>
      </c>
      <c r="K3" s="3" t="s">
        <v>3</v>
      </c>
      <c r="L3" s="3" t="s">
        <v>5</v>
      </c>
      <c r="M3" s="6" t="s">
        <v>4</v>
      </c>
    </row>
    <row r="4" spans="1:16" x14ac:dyDescent="0.35">
      <c r="A4" s="4" t="s">
        <v>18</v>
      </c>
      <c r="B4" s="1">
        <v>44449</v>
      </c>
      <c r="C4" s="4">
        <v>44452</v>
      </c>
      <c r="D4" s="9">
        <f t="shared" si="0"/>
        <v>3</v>
      </c>
      <c r="E4" s="4">
        <v>44516</v>
      </c>
      <c r="F4" s="9">
        <f t="shared" si="1"/>
        <v>64</v>
      </c>
      <c r="G4" s="4">
        <v>44740</v>
      </c>
      <c r="H4" s="9">
        <f t="shared" si="2"/>
        <v>224</v>
      </c>
      <c r="I4" s="9">
        <f>G4-B4</f>
        <v>291</v>
      </c>
      <c r="J4" s="3" t="s">
        <v>13</v>
      </c>
      <c r="K4" s="3" t="s">
        <v>12</v>
      </c>
      <c r="L4" s="3" t="s">
        <v>9</v>
      </c>
      <c r="M4" s="6" t="s">
        <v>14</v>
      </c>
    </row>
    <row r="5" spans="1:16" x14ac:dyDescent="0.35">
      <c r="A5" s="4" t="s">
        <v>18</v>
      </c>
      <c r="B5" s="4">
        <v>45163</v>
      </c>
      <c r="C5" s="4">
        <v>45163</v>
      </c>
      <c r="D5" s="9">
        <f t="shared" si="0"/>
        <v>0</v>
      </c>
      <c r="E5" s="4">
        <v>45196</v>
      </c>
      <c r="F5" s="9">
        <f t="shared" si="1"/>
        <v>33</v>
      </c>
      <c r="G5" s="4">
        <v>45338</v>
      </c>
      <c r="H5" s="9">
        <f t="shared" si="2"/>
        <v>142</v>
      </c>
      <c r="I5" s="9">
        <f>G5-B5</f>
        <v>175</v>
      </c>
      <c r="J5" s="3" t="s">
        <v>13</v>
      </c>
      <c r="K5" s="3" t="s">
        <v>12</v>
      </c>
      <c r="L5" s="3" t="s">
        <v>9</v>
      </c>
      <c r="M5" s="6" t="s">
        <v>14</v>
      </c>
    </row>
    <row r="6" spans="1:16" x14ac:dyDescent="0.35">
      <c r="A6" s="4" t="s">
        <v>18</v>
      </c>
      <c r="B6" s="4">
        <v>45163</v>
      </c>
      <c r="C6" s="4">
        <v>45163</v>
      </c>
      <c r="D6" s="9">
        <f t="shared" si="0"/>
        <v>0</v>
      </c>
      <c r="E6" s="4">
        <v>45195</v>
      </c>
      <c r="F6" s="9">
        <f t="shared" si="1"/>
        <v>32</v>
      </c>
      <c r="G6" s="4">
        <v>45398</v>
      </c>
      <c r="H6" s="9">
        <f t="shared" si="2"/>
        <v>203</v>
      </c>
      <c r="I6" s="9">
        <f>G6-B6</f>
        <v>235</v>
      </c>
      <c r="J6" s="3" t="s">
        <v>13</v>
      </c>
      <c r="K6" s="3" t="s">
        <v>12</v>
      </c>
      <c r="L6" s="3" t="s">
        <v>9</v>
      </c>
      <c r="M6" s="6" t="s">
        <v>14</v>
      </c>
    </row>
    <row r="9" spans="1:16" x14ac:dyDescent="0.35">
      <c r="B9" s="15"/>
      <c r="C9" s="16" t="s">
        <v>24</v>
      </c>
      <c r="D9" s="16"/>
      <c r="E9" s="17" t="s">
        <v>1</v>
      </c>
      <c r="F9" s="17"/>
      <c r="G9" s="16" t="s">
        <v>2</v>
      </c>
      <c r="H9" s="16"/>
      <c r="I9" s="16" t="s">
        <v>25</v>
      </c>
      <c r="J9" s="16"/>
      <c r="L9" s="14" t="s">
        <v>31</v>
      </c>
    </row>
    <row r="10" spans="1:16" x14ac:dyDescent="0.35">
      <c r="B10" s="15" t="s">
        <v>26</v>
      </c>
      <c r="C10" s="15" t="s">
        <v>17</v>
      </c>
      <c r="D10" s="18" t="s">
        <v>18</v>
      </c>
      <c r="E10" s="15" t="s">
        <v>17</v>
      </c>
      <c r="F10" s="18" t="s">
        <v>18</v>
      </c>
      <c r="G10" s="15" t="s">
        <v>17</v>
      </c>
      <c r="H10" s="18" t="s">
        <v>18</v>
      </c>
      <c r="I10" s="15" t="s">
        <v>17</v>
      </c>
      <c r="J10" s="18" t="s">
        <v>18</v>
      </c>
      <c r="L10" s="21"/>
      <c r="M10" s="22" t="s">
        <v>24</v>
      </c>
      <c r="N10" s="21" t="s">
        <v>1</v>
      </c>
      <c r="O10" s="23" t="s">
        <v>2</v>
      </c>
      <c r="P10" s="21" t="s">
        <v>25</v>
      </c>
    </row>
    <row r="11" spans="1:16" x14ac:dyDescent="0.35">
      <c r="B11" s="15" t="s">
        <v>27</v>
      </c>
      <c r="C11" s="18">
        <f>+MAX(D$2:D$3)</f>
        <v>239</v>
      </c>
      <c r="D11" s="18">
        <f>+MAX(D$4:D$6)</f>
        <v>3</v>
      </c>
      <c r="E11" s="18">
        <f>+MAX(F$2:F$3)</f>
        <v>28</v>
      </c>
      <c r="F11" s="18">
        <f>+MAX(F$4:F$6)</f>
        <v>64</v>
      </c>
      <c r="G11" s="18">
        <f>+MAX(H$2:H$3)</f>
        <v>279</v>
      </c>
      <c r="H11" s="18">
        <f>+MAX(H$4:H$6)</f>
        <v>224</v>
      </c>
      <c r="I11" s="18">
        <f>+MAX(I$2:I$3)</f>
        <v>486</v>
      </c>
      <c r="J11" s="18">
        <f>+MAX(I$4:I$6)</f>
        <v>291</v>
      </c>
      <c r="L11" s="15" t="s">
        <v>27</v>
      </c>
      <c r="M11" s="18">
        <f>+MAX(D2:D6)</f>
        <v>239</v>
      </c>
      <c r="N11" s="18">
        <f>+MAX(F2:F6)</f>
        <v>64</v>
      </c>
      <c r="O11" s="18">
        <f>+MAX(H2:H6)</f>
        <v>279</v>
      </c>
      <c r="P11" s="18">
        <f>+MAX(I2:I6)</f>
        <v>486</v>
      </c>
    </row>
    <row r="12" spans="1:16" x14ac:dyDescent="0.35">
      <c r="B12" s="15" t="s">
        <v>28</v>
      </c>
      <c r="C12" s="18">
        <f>+MIN(D$2:D$3)</f>
        <v>135</v>
      </c>
      <c r="D12" s="18">
        <f>+MIN(D$4:D$6)</f>
        <v>0</v>
      </c>
      <c r="E12" s="18">
        <f>+MIN(F$2:F$3)</f>
        <v>15</v>
      </c>
      <c r="F12" s="18">
        <f>+MIN(F$4:F$6)</f>
        <v>32</v>
      </c>
      <c r="G12" s="18">
        <f>+MIN(H$2:H$3)</f>
        <v>219</v>
      </c>
      <c r="H12" s="18">
        <f>+MIN(H$4:H$6)</f>
        <v>142</v>
      </c>
      <c r="I12" s="18">
        <f>+MIN(I$2:I$3)</f>
        <v>429</v>
      </c>
      <c r="J12" s="18">
        <f>+MIN(I$4:I$6)</f>
        <v>175</v>
      </c>
      <c r="L12" s="15" t="s">
        <v>28</v>
      </c>
      <c r="M12" s="18">
        <f>+MIN(D2:D6)</f>
        <v>0</v>
      </c>
      <c r="N12" s="18">
        <f>+MIN(F2:F6)</f>
        <v>15</v>
      </c>
      <c r="O12" s="18">
        <f>+MIN(H2:H6)</f>
        <v>142</v>
      </c>
      <c r="P12" s="18">
        <f>+MIN(I2:I6)</f>
        <v>175</v>
      </c>
    </row>
    <row r="13" spans="1:16" x14ac:dyDescent="0.35">
      <c r="B13" s="15" t="s">
        <v>29</v>
      </c>
      <c r="C13" s="18">
        <f>+MEDIAN(D$2:D$3)</f>
        <v>187</v>
      </c>
      <c r="D13" s="18">
        <f>+MEDIAN(D$4:D$6)</f>
        <v>0</v>
      </c>
      <c r="E13" s="18">
        <f>+MEDIAN(F$2:F$3)</f>
        <v>21.5</v>
      </c>
      <c r="F13" s="18">
        <f>+MEDIAN(F$4:F$6)</f>
        <v>33</v>
      </c>
      <c r="G13" s="18">
        <f>+MEDIAN(H$2:H$3)</f>
        <v>249</v>
      </c>
      <c r="H13" s="18">
        <f>+MEDIAN(H$4:H$6)</f>
        <v>203</v>
      </c>
      <c r="I13" s="18">
        <f>+MEDIAN(I$2:I$3)</f>
        <v>457.5</v>
      </c>
      <c r="J13" s="18">
        <f>+MEDIAN(I$4:I$6)</f>
        <v>235</v>
      </c>
      <c r="L13" s="15" t="s">
        <v>29</v>
      </c>
      <c r="M13" s="18">
        <f>+MEDIAN(D2:D6)</f>
        <v>3</v>
      </c>
      <c r="N13" s="18">
        <f>+MEDIAN(F2:F6)</f>
        <v>32</v>
      </c>
      <c r="O13" s="18">
        <f>+MEDIAN(H2:H6)</f>
        <v>219</v>
      </c>
      <c r="P13" s="18">
        <f>+MEDIAN(I2:I6)</f>
        <v>291</v>
      </c>
    </row>
    <row r="14" spans="1:16" x14ac:dyDescent="0.35">
      <c r="B14" s="19" t="s">
        <v>23</v>
      </c>
      <c r="C14" s="18">
        <f>+AVERAGE(D2:D3)</f>
        <v>187</v>
      </c>
      <c r="D14" s="18">
        <f>+AVERAGE(D4:D6)</f>
        <v>1</v>
      </c>
      <c r="E14" s="18">
        <f>+AVERAGE(F2:F3)</f>
        <v>21.5</v>
      </c>
      <c r="F14" s="18">
        <f>+AVERAGE(F4:F6)</f>
        <v>43</v>
      </c>
      <c r="G14" s="18">
        <f>+AVERAGE(H2:H3)</f>
        <v>249</v>
      </c>
      <c r="H14" s="18">
        <f>+AVERAGE(H4:H6)</f>
        <v>189.66666666666666</v>
      </c>
      <c r="I14" s="18">
        <f>+AVERAGE(I2:I3)</f>
        <v>457.5</v>
      </c>
      <c r="J14" s="18">
        <f>+AVERAGE(I4:I6)</f>
        <v>233.66666666666666</v>
      </c>
      <c r="L14" s="19" t="s">
        <v>23</v>
      </c>
      <c r="M14" s="18">
        <f>+AVERAGE(D2:D6)</f>
        <v>75.400000000000006</v>
      </c>
      <c r="N14" s="18">
        <f>+AVERAGE(F2:F6)</f>
        <v>34.4</v>
      </c>
      <c r="O14" s="18">
        <f>+AVERAGE(H2:H6)</f>
        <v>213.4</v>
      </c>
      <c r="P14" s="18">
        <f>+AVERAGE(I2:I6)</f>
        <v>323.2</v>
      </c>
    </row>
    <row r="15" spans="1:16" x14ac:dyDescent="0.35">
      <c r="B15" s="19" t="s">
        <v>30</v>
      </c>
      <c r="C15" s="15"/>
      <c r="D15" s="20">
        <f>+D14/C14-1</f>
        <v>-0.99465240641711228</v>
      </c>
      <c r="E15" s="20"/>
      <c r="F15" s="20">
        <f>+F14/E14-1</f>
        <v>1</v>
      </c>
      <c r="G15" s="20"/>
      <c r="H15" s="20">
        <f>+H14/G14-1</f>
        <v>-0.23828647925033475</v>
      </c>
      <c r="I15" s="20"/>
      <c r="J15" s="20">
        <f>+J14/I14-1</f>
        <v>-0.4892531876138434</v>
      </c>
      <c r="L15" s="19"/>
      <c r="M15" s="21"/>
      <c r="N15" s="21"/>
      <c r="O15" s="21"/>
      <c r="P15" s="21"/>
    </row>
    <row r="16" spans="1:16" x14ac:dyDescent="0.35">
      <c r="B16" s="13"/>
      <c r="D16"/>
      <c r="L16" s="24" t="s">
        <v>32</v>
      </c>
      <c r="M16" s="15"/>
      <c r="N16" s="15">
        <v>15</v>
      </c>
      <c r="O16" s="15">
        <v>142</v>
      </c>
      <c r="P16" s="15"/>
    </row>
    <row r="17" spans="2:16" x14ac:dyDescent="0.35">
      <c r="B17" s="11"/>
      <c r="C17" s="11" t="s">
        <v>1</v>
      </c>
      <c r="D17" s="11" t="s">
        <v>2</v>
      </c>
      <c r="L17" s="25"/>
      <c r="M17" s="15"/>
      <c r="N17" s="15">
        <v>64</v>
      </c>
      <c r="O17" s="15">
        <v>279</v>
      </c>
      <c r="P17" s="15"/>
    </row>
    <row r="18" spans="2:16" x14ac:dyDescent="0.35">
      <c r="C18" s="11">
        <v>15</v>
      </c>
      <c r="D18" s="12">
        <v>142</v>
      </c>
    </row>
    <row r="19" spans="2:16" x14ac:dyDescent="0.35">
      <c r="B19" s="11"/>
      <c r="C19" s="11">
        <v>64</v>
      </c>
      <c r="D19" s="12">
        <v>279</v>
      </c>
    </row>
  </sheetData>
  <mergeCells count="5">
    <mergeCell ref="C9:D9"/>
    <mergeCell ref="E9:F9"/>
    <mergeCell ref="G9:H9"/>
    <mergeCell ref="I9:J9"/>
    <mergeCell ref="L16:L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Hoja3</vt:lpstr>
      <vt:lpstr>Hoja3 (2)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 name</dc:creator>
  <cp:lastModifiedBy>Estefanía MANAU</cp:lastModifiedBy>
  <dcterms:created xsi:type="dcterms:W3CDTF">2025-05-02T19:06:41Z</dcterms:created>
  <dcterms:modified xsi:type="dcterms:W3CDTF">2025-08-22T16:10:57Z</dcterms:modified>
</cp:coreProperties>
</file>